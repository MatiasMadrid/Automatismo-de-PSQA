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tias\PycharmProjects\PythonProject\"/>
    </mc:Choice>
  </mc:AlternateContent>
  <xr:revisionPtr revIDLastSave="0" documentId="13_ncr:1_{3E207E4C-03C6-42D1-BAB8-55C7BF9724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st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dclmc8uKPOuoISzFKlEDPYJfWtX6aQQR6dSOejguj2A="/>
    </ext>
  </extLst>
</workbook>
</file>

<file path=xl/calcChain.xml><?xml version="1.0" encoding="utf-8"?>
<calcChain xmlns="http://schemas.openxmlformats.org/spreadsheetml/2006/main">
  <c r="K13" i="2" l="1"/>
  <c r="K2" i="2" s="1"/>
  <c r="D13" i="2"/>
  <c r="B13" i="2"/>
  <c r="H9" i="2"/>
  <c r="D9" i="2"/>
  <c r="O8" i="2"/>
  <c r="H8" i="2"/>
  <c r="D8" i="2"/>
  <c r="H7" i="2"/>
  <c r="D7" i="2"/>
  <c r="H6" i="2"/>
  <c r="D6" i="2"/>
  <c r="B6" i="2"/>
  <c r="H5" i="2"/>
  <c r="D5" i="2"/>
  <c r="B5" i="2"/>
  <c r="H4" i="2"/>
  <c r="D4" i="2"/>
  <c r="H3" i="2"/>
  <c r="D3" i="2"/>
  <c r="H2" i="2"/>
  <c r="D2" i="2"/>
  <c r="K3" i="2" l="1"/>
  <c r="K7" i="2"/>
  <c r="K4" i="2"/>
  <c r="K6" i="2"/>
  <c r="K8" i="2"/>
  <c r="K5" i="2"/>
  <c r="K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100-000003000000}">
      <text>
        <r>
          <rPr>
            <sz val="11"/>
            <color theme="1"/>
            <rFont val="Calibri"/>
            <scheme val="minor"/>
          </rPr>
          <t>======
ID#AAABw4Cz8Zo
PABLO MATIAS MADRID    (2025-12-02 16:16:52)
costo inicial del sistema completo</t>
        </r>
      </text>
    </comment>
    <comment ref="D2" authorId="0" shapeId="0" xr:uid="{00000000-0006-0000-0100-000005000000}">
      <text>
        <r>
          <rPr>
            <sz val="11"/>
            <color theme="1"/>
            <rFont val="Calibri"/>
            <scheme val="minor"/>
          </rPr>
          <t>======
ID#AAABw4Cz8Y0
PABLO MATIAS MADRID    (2025-12-02 15:08:54)
haría referencia a lo que cuesta pagar la licencia del paquete completo de sun nuclear</t>
        </r>
      </text>
    </comment>
    <comment ref="D3" authorId="0" shapeId="0" xr:uid="{00000000-0006-0000-0100-000004000000}">
      <text>
        <r>
          <rPr>
            <sz val="11"/>
            <color theme="1"/>
            <rFont val="Calibri"/>
            <scheme val="minor"/>
          </rPr>
          <t>======
ID#AAABw4Cz8Y4
PABLO MATIAS MADRID    (2025-12-02 15:09:16)
haría referencia a lo que cuesta pagar la licencia del paquete completo de sun nuclear</t>
        </r>
      </text>
    </comment>
    <comment ref="D7" authorId="0" shapeId="0" xr:uid="{00000000-0006-0000-0100-000006000000}">
      <text>
        <r>
          <rPr>
            <sz val="11"/>
            <color theme="1"/>
            <rFont val="Calibri"/>
            <scheme val="minor"/>
          </rPr>
          <t>======
ID#AAABw4Cz8Yw
PABLO MATIAS MADRID    (2025-12-02 15:07:14)
haría referencia a lo que cuesta pagar la licencia del paquete completo de sun nuclear</t>
        </r>
      </text>
    </comment>
    <comment ref="H13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ID#AAABw4Cz8Zs
PABLO MATIAS MADRID    (2025-12-02 16:17:58)
se estima a partir de uso promedio de 20 usos diarios</t>
        </r>
      </text>
    </comment>
    <comment ref="N14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ID#AAABw4Cz8Zw
PABLO MATIAS MADRID    (2025-12-02 16:18:31)
promedio de usos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V5BUAnE2FMlJPuQydLW3NCJCVCw=="/>
    </ext>
  </extLst>
</comments>
</file>

<file path=xl/sharedStrings.xml><?xml version="1.0" encoding="utf-8"?>
<sst xmlns="http://schemas.openxmlformats.org/spreadsheetml/2006/main" count="53" uniqueCount="42">
  <si>
    <t>LogFile</t>
  </si>
  <si>
    <t xml:space="preserve">                          Costos       Metodo</t>
  </si>
  <si>
    <t>Costo inicial (USD)</t>
  </si>
  <si>
    <t>Vida útil (años)</t>
  </si>
  <si>
    <t>Mantenimiento anual (USD)</t>
  </si>
  <si>
    <t>Costo por hora (personal)</t>
  </si>
  <si>
    <t>Manejo del instrumental por el peronal. (hora)</t>
  </si>
  <si>
    <t>Manejo del softw. por le personal (hora)</t>
  </si>
  <si>
    <t>Usos anuales</t>
  </si>
  <si>
    <t>Tiempo de uso del linac (hora)</t>
  </si>
  <si>
    <t>Costo de uso del equipo</t>
  </si>
  <si>
    <t>Costo por uso</t>
  </si>
  <si>
    <t>ArcCHECK</t>
  </si>
  <si>
    <t>fuente</t>
  </si>
  <si>
    <t xml:space="preserve">PlanCheck </t>
  </si>
  <si>
    <t>Costo</t>
  </si>
  <si>
    <t>Commercial Invoice.pdf</t>
  </si>
  <si>
    <t>costo</t>
  </si>
  <si>
    <t>estimado</t>
  </si>
  <si>
    <t>Vida útil</t>
  </si>
  <si>
    <t>supuesta</t>
  </si>
  <si>
    <t>Mantenimiento</t>
  </si>
  <si>
    <t>Costo por hora del personal</t>
  </si>
  <si>
    <t>tiempo de personal</t>
  </si>
  <si>
    <t>estimado + modulos de adquisiscion</t>
  </si>
  <si>
    <t>Usos</t>
  </si>
  <si>
    <t>Stereophan + Gafchromic/CI</t>
  </si>
  <si>
    <t>Tiempo del personal (hora)</t>
  </si>
  <si>
    <t>Costo por uso por hora</t>
  </si>
  <si>
    <t>Linac</t>
  </si>
  <si>
    <t>valor</t>
  </si>
  <si>
    <t>Fuente</t>
  </si>
  <si>
    <t xml:space="preserve">Linac </t>
  </si>
  <si>
    <t>Costo inicial</t>
  </si>
  <si>
    <t>Acta de Transferencia.pdf</t>
  </si>
  <si>
    <t>usos diarios</t>
  </si>
  <si>
    <t>Plancheck</t>
  </si>
  <si>
    <t>Calculo independiente</t>
  </si>
  <si>
    <t>Portal Dosimetry</t>
  </si>
  <si>
    <t>ArcCheck</t>
  </si>
  <si>
    <t>3DVH</t>
  </si>
  <si>
    <t>Transit-EPID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</si>
</sst>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FF0000"/>
      <name val="Calibri"/>
      <scheme val="minor"/>
    </font>
    <font>
      <sz val="11"/>
      <color rgb="FFFF0000"/>
      <name val="Calibri"/>
      <scheme val="minor"/>
    </font>
    <font>
      <u/>
      <sz val="11"/>
      <color theme="1"/>
      <name val="Calibri"/>
      <scheme val="minor"/>
    </font>
    <font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2" borderId="1" xfId="0" applyFont="1" applyFill="1" applyBorder="1"/>
    <xf numFmtId="0" fontId="4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164" fontId="2" fillId="5" borderId="0" xfId="0" applyNumberFormat="1" applyFont="1" applyFill="1" applyAlignment="1">
      <alignment horizontal="center" vertical="center" wrapText="1"/>
    </xf>
    <xf numFmtId="0" fontId="5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3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file/d/1WpxUMCDNOYquDaj7Ac2-elyzeeWYBIH2/view?usp=drive_link" TargetMode="External"/><Relationship Id="rId1" Type="http://schemas.openxmlformats.org/officeDocument/2006/relationships/hyperlink" Target="https://drive.google.com/file/d/1CJyz7vZ2f8cBYSJMTd0TAytG9KwahPyk/view?usp=drive_link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19"/>
  <sheetViews>
    <sheetView tabSelected="1" workbookViewId="0">
      <selection activeCell="E5" sqref="E5"/>
    </sheetView>
  </sheetViews>
  <sheetFormatPr baseColWidth="10" defaultColWidth="14.42578125" defaultRowHeight="15" customHeight="1" x14ac:dyDescent="0.25"/>
  <cols>
    <col min="2" max="2" width="23" customWidth="1"/>
    <col min="3" max="3" width="13" customWidth="1"/>
    <col min="4" max="4" width="9.5703125" customWidth="1"/>
    <col min="5" max="5" width="14.7109375" customWidth="1"/>
    <col min="6" max="6" width="14.85546875" customWidth="1"/>
    <col min="7" max="7" width="19" customWidth="1"/>
    <col min="8" max="8" width="20.140625" customWidth="1"/>
    <col min="9" max="9" width="9.140625" customWidth="1"/>
    <col min="10" max="10" width="16" customWidth="1"/>
    <col min="11" max="11" width="12.85546875" customWidth="1"/>
    <col min="12" max="12" width="23" customWidth="1"/>
  </cols>
  <sheetData>
    <row r="1" spans="1:20" ht="6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N1" s="4" t="s">
        <v>12</v>
      </c>
      <c r="O1" s="4"/>
      <c r="P1" s="4" t="s">
        <v>13</v>
      </c>
      <c r="R1" s="4" t="s">
        <v>14</v>
      </c>
      <c r="S1" s="4"/>
      <c r="T1" s="4" t="s">
        <v>13</v>
      </c>
    </row>
    <row r="2" spans="1:20" x14ac:dyDescent="0.25">
      <c r="A2" s="13" t="s">
        <v>36</v>
      </c>
      <c r="B2" s="5">
        <v>80000</v>
      </c>
      <c r="C2" s="5">
        <v>5</v>
      </c>
      <c r="D2" s="5">
        <f t="shared" ref="D2:D9" si="0">0.1*B2</f>
        <v>8000</v>
      </c>
      <c r="E2" s="5">
        <v>30</v>
      </c>
      <c r="F2" s="5">
        <v>0</v>
      </c>
      <c r="G2" s="5">
        <v>0.1</v>
      </c>
      <c r="H2" s="6">
        <f>H13</f>
        <v>6525</v>
      </c>
      <c r="I2" s="6">
        <v>0</v>
      </c>
      <c r="J2" s="7"/>
      <c r="K2" s="7">
        <f>((B2/C2)+D2+(I2*K13)+(E2*F2)+(E2*G2))/H2</f>
        <v>3.6786206896551725</v>
      </c>
      <c r="N2" s="4" t="s">
        <v>15</v>
      </c>
      <c r="O2" s="4">
        <v>106279.8</v>
      </c>
      <c r="P2" s="8" t="s">
        <v>16</v>
      </c>
      <c r="R2" s="4" t="s">
        <v>17</v>
      </c>
      <c r="S2" s="4">
        <v>50000</v>
      </c>
      <c r="T2" s="4" t="s">
        <v>18</v>
      </c>
    </row>
    <row r="3" spans="1:20" ht="30" x14ac:dyDescent="0.25">
      <c r="A3" s="13" t="s">
        <v>37</v>
      </c>
      <c r="B3" s="5">
        <v>80000</v>
      </c>
      <c r="C3" s="5">
        <v>5</v>
      </c>
      <c r="D3" s="5">
        <f t="shared" si="0"/>
        <v>8000</v>
      </c>
      <c r="E3" s="5">
        <v>30</v>
      </c>
      <c r="F3" s="5">
        <v>0</v>
      </c>
      <c r="G3" s="5">
        <v>0.1</v>
      </c>
      <c r="H3" s="6">
        <f>H13</f>
        <v>6525</v>
      </c>
      <c r="I3" s="6">
        <v>0</v>
      </c>
      <c r="J3" s="7"/>
      <c r="K3" s="7">
        <f>((B3/C3)+D3+(I3*K13)+(E3*F3)+(E3*G3))/H3</f>
        <v>3.6786206896551725</v>
      </c>
      <c r="N3" s="4" t="s">
        <v>19</v>
      </c>
      <c r="O3" s="4">
        <v>15</v>
      </c>
      <c r="P3" s="4" t="s">
        <v>20</v>
      </c>
      <c r="R3" s="4"/>
      <c r="S3" s="4"/>
      <c r="T3" s="4"/>
    </row>
    <row r="4" spans="1:20" ht="42" customHeight="1" x14ac:dyDescent="0.25">
      <c r="A4" s="13" t="s">
        <v>38</v>
      </c>
      <c r="B4" s="5">
        <v>100000</v>
      </c>
      <c r="C4" s="5">
        <v>10</v>
      </c>
      <c r="D4" s="5">
        <f t="shared" si="0"/>
        <v>10000</v>
      </c>
      <c r="E4" s="5">
        <v>30</v>
      </c>
      <c r="F4" s="5">
        <v>0.3</v>
      </c>
      <c r="G4" s="5">
        <v>0.1</v>
      </c>
      <c r="H4" s="6">
        <f>H13</f>
        <v>6525</v>
      </c>
      <c r="I4" s="6">
        <v>0.15</v>
      </c>
      <c r="J4" s="7"/>
      <c r="K4" s="7">
        <f>((B4/C4)+D4+(I4*K13)+(E4*F4)+(E4*G4))/H4</f>
        <v>3.0684590398995906</v>
      </c>
      <c r="N4" s="4" t="s">
        <v>21</v>
      </c>
      <c r="O4" s="4">
        <v>4000</v>
      </c>
      <c r="P4" s="4" t="s">
        <v>20</v>
      </c>
      <c r="R4" s="4"/>
      <c r="S4" s="4"/>
      <c r="T4" s="4"/>
    </row>
    <row r="5" spans="1:20" ht="47.25" customHeight="1" x14ac:dyDescent="0.25">
      <c r="A5" s="13" t="s">
        <v>39</v>
      </c>
      <c r="B5" s="6">
        <f>O2</f>
        <v>106279.8</v>
      </c>
      <c r="C5" s="5">
        <v>15</v>
      </c>
      <c r="D5" s="5">
        <f t="shared" si="0"/>
        <v>10627.980000000001</v>
      </c>
      <c r="E5" s="5">
        <v>30</v>
      </c>
      <c r="F5" s="5">
        <v>0.4</v>
      </c>
      <c r="G5" s="5">
        <v>0.1</v>
      </c>
      <c r="H5" s="6">
        <f>H13</f>
        <v>6525</v>
      </c>
      <c r="I5" s="5">
        <v>0.15</v>
      </c>
      <c r="J5" s="7"/>
      <c r="K5" s="7">
        <f>((B5/C5)+D5+(I5*K13)+(E5*F5)+(E5*G5))/H5</f>
        <v>2.7184667027348399</v>
      </c>
      <c r="N5" s="9" t="s">
        <v>22</v>
      </c>
      <c r="O5" s="4">
        <v>30</v>
      </c>
      <c r="P5" s="4"/>
      <c r="R5" s="4" t="s">
        <v>0</v>
      </c>
      <c r="S5" s="4"/>
      <c r="T5" s="4"/>
    </row>
    <row r="6" spans="1:20" ht="47.25" customHeight="1" x14ac:dyDescent="0.25">
      <c r="A6" s="13" t="s">
        <v>40</v>
      </c>
      <c r="B6" s="6">
        <f>O2</f>
        <v>106279.8</v>
      </c>
      <c r="C6" s="5">
        <v>15</v>
      </c>
      <c r="D6" s="5">
        <f t="shared" si="0"/>
        <v>10627.980000000001</v>
      </c>
      <c r="E6" s="5">
        <v>30</v>
      </c>
      <c r="F6" s="5">
        <v>0</v>
      </c>
      <c r="G6" s="5">
        <v>0.4</v>
      </c>
      <c r="H6" s="6">
        <f>H13</f>
        <v>6525</v>
      </c>
      <c r="I6" s="5">
        <v>0</v>
      </c>
      <c r="J6" s="7"/>
      <c r="K6" s="7">
        <f>((B6/C6)+D6+(I6*K13)+(E6*F6)+(E6*G6))/H6</f>
        <v>2.7165210727969353</v>
      </c>
      <c r="N6" s="9" t="s">
        <v>23</v>
      </c>
      <c r="O6" s="4">
        <v>0.5</v>
      </c>
      <c r="P6" s="4"/>
      <c r="R6" s="4" t="s">
        <v>17</v>
      </c>
      <c r="S6" s="4">
        <v>80000</v>
      </c>
      <c r="T6" s="9" t="s">
        <v>24</v>
      </c>
    </row>
    <row r="7" spans="1:20" ht="47.25" customHeight="1" x14ac:dyDescent="0.25">
      <c r="A7" s="13" t="s">
        <v>0</v>
      </c>
      <c r="B7" s="5">
        <v>80000</v>
      </c>
      <c r="C7" s="5">
        <v>5</v>
      </c>
      <c r="D7" s="5">
        <f t="shared" si="0"/>
        <v>8000</v>
      </c>
      <c r="E7" s="5">
        <v>30</v>
      </c>
      <c r="F7" s="5">
        <v>0</v>
      </c>
      <c r="G7" s="5">
        <v>0.15</v>
      </c>
      <c r="H7" s="6">
        <f>H13</f>
        <v>6525</v>
      </c>
      <c r="I7" s="6">
        <v>0</v>
      </c>
      <c r="J7" s="7"/>
      <c r="K7" s="7">
        <f>((B7/C7)+D7+(I7*K13)+(E7*F7)+(E7*G7))/H7</f>
        <v>3.6788505747126439</v>
      </c>
      <c r="N7" s="4" t="s">
        <v>25</v>
      </c>
      <c r="O7" s="4">
        <v>7</v>
      </c>
      <c r="P7" s="4"/>
    </row>
    <row r="8" spans="1:20" ht="47.25" customHeight="1" x14ac:dyDescent="0.25">
      <c r="A8" s="13" t="s">
        <v>41</v>
      </c>
      <c r="B8" s="5">
        <v>100000</v>
      </c>
      <c r="C8" s="5">
        <v>10</v>
      </c>
      <c r="D8" s="5">
        <f t="shared" si="0"/>
        <v>10000</v>
      </c>
      <c r="E8" s="5">
        <v>30</v>
      </c>
      <c r="F8" s="5">
        <v>0.5</v>
      </c>
      <c r="G8" s="5">
        <v>0.1</v>
      </c>
      <c r="H8" s="6">
        <f>H13</f>
        <v>6525</v>
      </c>
      <c r="I8" s="10">
        <v>0</v>
      </c>
      <c r="J8" s="6"/>
      <c r="K8" s="7">
        <f>((B8/C8)+D8+(I8*K13)+(E8*F8)+(E8*G8))/H8</f>
        <v>3.0678927203065136</v>
      </c>
      <c r="N8" s="4" t="s">
        <v>11</v>
      </c>
      <c r="O8" s="4">
        <f>((O2/O3)+O4+(O5*O6))/O7</f>
        <v>1585.76</v>
      </c>
      <c r="P8" s="4"/>
    </row>
    <row r="9" spans="1:20" ht="47.25" customHeight="1" x14ac:dyDescent="0.25">
      <c r="A9" s="13" t="s">
        <v>26</v>
      </c>
      <c r="B9" s="5">
        <v>100000</v>
      </c>
      <c r="C9" s="5">
        <v>10</v>
      </c>
      <c r="D9" s="5">
        <f t="shared" si="0"/>
        <v>10000</v>
      </c>
      <c r="E9" s="5">
        <v>30</v>
      </c>
      <c r="F9" s="5">
        <v>0.5</v>
      </c>
      <c r="G9" s="5">
        <v>0.1</v>
      </c>
      <c r="H9" s="6">
        <f>H13</f>
        <v>6525</v>
      </c>
      <c r="I9" s="10">
        <v>0</v>
      </c>
      <c r="J9" s="6"/>
      <c r="K9" s="7">
        <f>((B9/C9)+D9+(I9*K13)+(E9*F9)+(E9*G9))/H9</f>
        <v>3.0678927203065136</v>
      </c>
    </row>
    <row r="10" spans="1:20" ht="47.25" customHeight="1" x14ac:dyDescent="0.25"/>
    <row r="11" spans="1:20" ht="47.25" customHeight="1" x14ac:dyDescent="0.25"/>
    <row r="12" spans="1:20" ht="38.25" customHeight="1" x14ac:dyDescent="0.25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27</v>
      </c>
      <c r="G12" s="1"/>
      <c r="H12" s="1" t="s">
        <v>8</v>
      </c>
      <c r="I12" s="1"/>
      <c r="J12" s="1"/>
      <c r="K12" s="1" t="s">
        <v>28</v>
      </c>
      <c r="M12" s="4" t="s">
        <v>29</v>
      </c>
      <c r="N12" s="4" t="s">
        <v>30</v>
      </c>
      <c r="O12" s="4" t="s">
        <v>31</v>
      </c>
    </row>
    <row r="13" spans="1:20" ht="44.25" customHeight="1" x14ac:dyDescent="0.25">
      <c r="A13" s="2" t="s">
        <v>32</v>
      </c>
      <c r="B13" s="3">
        <f>(5622836.5)/2</f>
        <v>2811418.25</v>
      </c>
      <c r="C13" s="11">
        <v>20</v>
      </c>
      <c r="D13" s="12">
        <f>0.1*B13</f>
        <v>281141.82500000001</v>
      </c>
      <c r="E13" s="11">
        <v>30</v>
      </c>
      <c r="F13" s="3">
        <v>1</v>
      </c>
      <c r="G13" s="3"/>
      <c r="H13" s="3">
        <v>6525</v>
      </c>
      <c r="I13" s="3"/>
      <c r="J13" s="3"/>
      <c r="K13" s="3">
        <f>((B13/C13)+D13+(E13*F13))/H13</f>
        <v>64.634902298850577</v>
      </c>
      <c r="M13" s="4" t="s">
        <v>33</v>
      </c>
      <c r="N13" s="4">
        <v>5622836.5</v>
      </c>
      <c r="O13" s="8" t="s">
        <v>34</v>
      </c>
    </row>
    <row r="14" spans="1:20" ht="44.25" customHeight="1" x14ac:dyDescent="0.25">
      <c r="M14" s="4" t="s">
        <v>35</v>
      </c>
      <c r="N14" s="4">
        <v>25</v>
      </c>
      <c r="O14" s="4"/>
    </row>
    <row r="15" spans="1:20" ht="44.25" customHeight="1" x14ac:dyDescent="0.25"/>
    <row r="16" spans="1:20" ht="44.25" customHeight="1" x14ac:dyDescent="0.25"/>
    <row r="17" ht="44.25" customHeight="1" x14ac:dyDescent="0.25"/>
    <row r="18" ht="44.25" customHeight="1" x14ac:dyDescent="0.25"/>
    <row r="19" ht="44.25" customHeight="1" x14ac:dyDescent="0.25"/>
  </sheetData>
  <hyperlinks>
    <hyperlink ref="P2" r:id="rId1" xr:uid="{00000000-0004-0000-0100-000000000000}"/>
    <hyperlink ref="O13" r:id="rId2" xr:uid="{00000000-0004-0000-0100-000001000000}"/>
  </hyperlinks>
  <pageMargins left="0.7" right="0.7" top="0.75" bottom="0.75" header="0.3" footer="0.3"/>
  <pageSetup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Therapist</dc:creator>
  <cp:lastModifiedBy>Matias</cp:lastModifiedBy>
  <dcterms:created xsi:type="dcterms:W3CDTF">2025-11-06T11:46:21Z</dcterms:created>
  <dcterms:modified xsi:type="dcterms:W3CDTF">2026-01-27T13:35:44Z</dcterms:modified>
</cp:coreProperties>
</file>